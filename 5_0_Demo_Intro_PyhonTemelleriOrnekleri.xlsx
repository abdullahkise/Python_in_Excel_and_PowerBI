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dullah\Documents\GitHub\Python_in_Excel_and_PowerBI\"/>
    </mc:Choice>
  </mc:AlternateContent>
  <xr:revisionPtr revIDLastSave="0" documentId="13_ncr:1_{C2B376E9-0CB0-400D-BA67-48504A1BDA0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lkOrnek" sheetId="1" r:id="rId1"/>
    <sheet name="Formuller" sheetId="3" r:id="rId2"/>
    <sheet name="Kisler" sheetId="2" r:id="rId3"/>
  </sheets>
  <definedNames>
    <definedName name="_xlchart.v1.0" hidden="1">Kisler!$B$2:$B$23</definedName>
    <definedName name="_xlchart.v1.1" hidden="1">Kisler!$B$2:$B$23</definedName>
    <definedName name="_xlchart.v1.2" hidden="1">Kisler!$C$2:$C$23</definedName>
    <definedName name="KislerTablosu">Table1[#All]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C2" i="3" s="1" a="1"/>
  <c r="C3" i="3" s="1" a="1"/>
  <c r="C4" i="3" s="1" a="1"/>
  <c r="D2" i="2" s="1" a="1"/>
  <c r="E2" i="2" s="1" a="1"/>
  <c r="D3" i="2" l="1" a="1"/>
  <c r="E3" i="2" s="1" a="1"/>
  <c r="D4" i="2" s="1" a="1"/>
  <c r="E4" i="2" s="1" a="1"/>
  <c r="D5" i="2" s="1" a="1"/>
  <c r="E5" i="2" s="1" a="1"/>
  <c r="D6" i="2" s="1" a="1"/>
  <c r="E6" i="2" s="1" a="1"/>
  <c r="D7" i="2" s="1" a="1"/>
  <c r="E7" i="2" s="1" a="1"/>
  <c r="D8" i="2" s="1" a="1"/>
  <c r="E8" i="2" s="1" a="1"/>
  <c r="D9" i="2" s="1" a="1"/>
  <c r="E9" i="2" s="1" a="1"/>
  <c r="D10" i="2" s="1" a="1"/>
  <c r="E10" i="2" s="1" a="1"/>
  <c r="D11" i="2" s="1" a="1"/>
  <c r="E11" i="2" s="1" a="1"/>
  <c r="D12" i="2" s="1" a="1"/>
  <c r="E12" i="2" s="1" a="1"/>
  <c r="D13" i="2" s="1" a="1"/>
  <c r="E13" i="2" s="1" a="1"/>
  <c r="D14" i="2" s="1" a="1"/>
  <c r="E14" i="2" s="1" a="1"/>
  <c r="D15" i="2" s="1" a="1"/>
  <c r="E15" i="2" s="1" a="1"/>
  <c r="D16" i="2" s="1" a="1"/>
  <c r="E16" i="2" s="1" a="1"/>
  <c r="D17" i="2" s="1" a="1"/>
  <c r="E17" i="2" s="1" a="1"/>
  <c r="D18" i="2" s="1" a="1"/>
  <c r="E18" i="2" s="1" a="1"/>
  <c r="D19" i="2" s="1" a="1"/>
  <c r="E19" i="2" s="1" a="1"/>
  <c r="D20" i="2" s="1" a="1"/>
  <c r="E20" i="2" s="1" a="1"/>
  <c r="D21" i="2" s="1" a="1"/>
  <c r="E21" i="2" s="1" a="1"/>
  <c r="D22" i="2" s="1" a="1"/>
  <c r="E22" i="2" s="1" a="1"/>
  <c r="D23" i="2" s="1" a="1"/>
  <c r="E23" i="2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import re
warnings.simplefilter('ignore')
excel.set_xl_scalar_conversion(excel.convert_to_scalar)
excel.set_xl_array_conversion(excel.convert_to_dataframe)
</code>
    </initialization>
  </environmentDefinition>
  <pythonScripts>
    <pythonScript>
      <code xml:space="preserve">deger = xl(%P2%)
"Çift Sayıdır" if deger%%2==0 else "Tek Sayıdır"
</code>
    </pythonScript>
    <pythonScript>
      <code>def floatMu(deger):
    try:
        deger = float(deger)
    except:
        return False
    else:
        return True</code>
    </pythonScript>
    <pythonScript>
      <code xml:space="preserve">def ideal_kilo_hesapla(boy):
    if not(floatMu(boy)):
        return "Boy bilgisi cm cinsinden bir sayı olmalı"
    #deger float olabildi.
    ideal_kilo = boy-100-(boy-150)/4
    return f"{ideal_kilo:.0f} kg"
</code>
    </pythonScript>
    <pythonScript>
      <code xml:space="preserve">def obezite_seviyesi_hesapla(boy, kilo):
    if not(floatMu(boy)) or not(floatMu(kilo)):
        return "Bilgiler sayısal olmalıdır."
    #
    bki = kilo / ((boy/100)**2)
    #
    if bki &gt;=40:
        return "3. Dereceden obez"
    elif bki &gt;=35:
        return "2. Dereceden obez"
    elif bki &gt;=30:
        return "1. Dereceden obez"
    elif bki &gt;=25:
        return "Hafif şişman"
    elif bki &gt;=18.5:
        return "Normal"
    elif bki &gt;=17:
        return "Hafif Zayıf"
    elif bki &gt;=16:
        return "Orta Zayıf"
    else:
        return "Aşırı Zayıf"
    </code>
    </pythonScript>
    <pythonScript>
      <code>ideal_kilo_hesapla(xl(%P2%))</code>
    </pythonScript>
    <pythonScript>
      <code>obezite_seviyesi_hesapla(xl(%P2%),xl(%P3%))</code>
    </pythonScript>
  </pythonScripts>
</python>
</file>

<file path=xl/sharedStrings.xml><?xml version="1.0" encoding="utf-8"?>
<sst xmlns="http://schemas.openxmlformats.org/spreadsheetml/2006/main" count="48" uniqueCount="29">
  <si>
    <t>Sayi</t>
  </si>
  <si>
    <t>Durum</t>
  </si>
  <si>
    <t>Kişiler</t>
  </si>
  <si>
    <t>Boy</t>
  </si>
  <si>
    <t>İdealKilo</t>
  </si>
  <si>
    <t>Ali</t>
  </si>
  <si>
    <t>Veli</t>
  </si>
  <si>
    <t>Ayşe</t>
  </si>
  <si>
    <t>Fatma</t>
  </si>
  <si>
    <t>Python Fonksiyonu</t>
  </si>
  <si>
    <t>Tanım</t>
  </si>
  <si>
    <t>Python Code</t>
  </si>
  <si>
    <t>floatMu</t>
  </si>
  <si>
    <t>Verilen değer float tipine çeviriliyor mu diye kontrol edecek</t>
  </si>
  <si>
    <t>Cm cindsinden boy bilgisi ile ideal kilo hesabı yapar</t>
  </si>
  <si>
    <t>ideal_kilo_hesapla</t>
  </si>
  <si>
    <t>obezite_seviyesi_hesapla</t>
  </si>
  <si>
    <t>kilo ve boy bilgisi ile obezite seviyesini hesaplar</t>
  </si>
  <si>
    <t>Kilo</t>
  </si>
  <si>
    <t>Row Labels</t>
  </si>
  <si>
    <t>2. Dereceden obez</t>
  </si>
  <si>
    <t>3. Dereceden obez</t>
  </si>
  <si>
    <t>Aşırı Zayıf</t>
  </si>
  <si>
    <t>Hafif şişman</t>
  </si>
  <si>
    <t>Hafif Zayıf</t>
  </si>
  <si>
    <t>Normal</t>
  </si>
  <si>
    <t>Orta Zayıf</t>
  </si>
  <si>
    <t>Grand Total</t>
  </si>
  <si>
    <t>Count of Kişiler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</si>
</sst>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0" fillId="4" borderId="0" xfId="0" applyFill="1"/>
    <xf numFmtId="0" fontId="2" fillId="3" borderId="0" xfId="2"/>
    <xf numFmtId="0" fontId="0" fillId="0" borderId="1" xfId="0" applyBorder="1"/>
    <xf numFmtId="0" fontId="3" fillId="0" borderId="1" xfId="0" applyFont="1" applyBorder="1"/>
    <xf numFmtId="0" fontId="0" fillId="5" borderId="1" xfId="0" applyFill="1" applyBorder="1"/>
    <xf numFmtId="0" fontId="1" fillId="2" borderId="1" xfId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Good" xfId="1" builtinId="26"/>
    <cellStyle name="Neutral" xfId="2" builtinId="2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ichStyles" Target="richData/richStyles.xml"/><Relationship Id="rId5" Type="http://schemas.openxmlformats.org/officeDocument/2006/relationships/theme" Target="theme/theme1.xml"/><Relationship Id="rId15" Type="http://schemas.openxmlformats.org/officeDocument/2006/relationships/calcChain" Target="calcChain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1.xml"/><Relationship Id="rId9" Type="http://schemas.microsoft.com/office/2017/06/relationships/rdRichValue" Target="richData/rdrichvalue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[Intro_PyhonTemelleriOrnekleri.xlsx]Kisler!PivotTable1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Duruma</a:t>
            </a:r>
            <a:r>
              <a:rPr lang="tr-TR" baseline="0"/>
              <a:t> Göre Kişi adedi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Kisler!$H$10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Kisler!$G$11:$G$18</c:f>
              <c:strCache>
                <c:ptCount val="7"/>
                <c:pt idx="0">
                  <c:v>3. Dereceden obez</c:v>
                </c:pt>
                <c:pt idx="1">
                  <c:v>Orta Zayıf</c:v>
                </c:pt>
                <c:pt idx="2">
                  <c:v>2. Dereceden obez</c:v>
                </c:pt>
                <c:pt idx="3">
                  <c:v>Hafif şişman</c:v>
                </c:pt>
                <c:pt idx="4">
                  <c:v>Hafif Zayıf</c:v>
                </c:pt>
                <c:pt idx="5">
                  <c:v>Normal</c:v>
                </c:pt>
                <c:pt idx="6">
                  <c:v>Aşırı Zayıf</c:v>
                </c:pt>
              </c:strCache>
            </c:strRef>
          </c:cat>
          <c:val>
            <c:numRef>
              <c:f>Kisler!$H$11:$H$18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1-4696-B3C0-EBBA5BD34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2900016"/>
        <c:axId val="555108336"/>
      </c:barChart>
      <c:catAx>
        <c:axId val="45290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55108336"/>
        <c:crosses val="autoZero"/>
        <c:auto val="1"/>
        <c:lblAlgn val="ctr"/>
        <c:lblOffset val="100"/>
        <c:noMultiLvlLbl val="0"/>
      </c:catAx>
      <c:valAx>
        <c:axId val="55510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5290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r-T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Boy Dağılımı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2105-4B86-BE6E-102175C1006E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r-T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Kilo Dağılımı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6BBC-49F5-AB17-C3BC3FCFE2B9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69605</xdr:colOff>
      <xdr:row>0</xdr:row>
      <xdr:rowOff>7327</xdr:rowOff>
    </xdr:from>
    <xdr:to>
      <xdr:col>8</xdr:col>
      <xdr:colOff>7327</xdr:colOff>
      <xdr:row>7</xdr:row>
      <xdr:rowOff>80596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5E70769-093F-5453-C259-2D6203A1EF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5855" y="7327"/>
              <a:ext cx="2707299" cy="14067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58614</xdr:colOff>
      <xdr:row>0</xdr:row>
      <xdr:rowOff>20516</xdr:rowOff>
    </xdr:from>
    <xdr:to>
      <xdr:col>13</xdr:col>
      <xdr:colOff>183173</xdr:colOff>
      <xdr:row>7</xdr:row>
      <xdr:rowOff>102577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C21A65E-B949-04FB-F529-54272083B5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4441" y="20516"/>
              <a:ext cx="2579078" cy="14155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80596</xdr:colOff>
      <xdr:row>8</xdr:row>
      <xdr:rowOff>181707</xdr:rowOff>
    </xdr:from>
    <xdr:to>
      <xdr:col>13</xdr:col>
      <xdr:colOff>205155</xdr:colOff>
      <xdr:row>23</xdr:row>
      <xdr:rowOff>139212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DE7B54-A4BC-A2E0-2E64-A849ED310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 KİSE" refreshedDate="46300.879180902775" createdVersion="8" refreshedVersion="8" minRefreshableVersion="3" recordCount="22" xr:uid="{3D1ABE60-0A7E-436D-AA1F-ED80CDAFDC25}">
  <cacheSource type="worksheet">
    <worksheetSource name="Table1"/>
  </cacheSource>
  <cacheFields count="5">
    <cacheField name="Kişiler" numFmtId="0">
      <sharedItems count="4">
        <s v="Ali"/>
        <s v="Veli"/>
        <s v="Ayşe"/>
        <s v="Fatma"/>
      </sharedItems>
    </cacheField>
    <cacheField name="Boy" numFmtId="0">
      <sharedItems containsSemiMixedTypes="0" containsString="0" containsNumber="1" minValue="150" maxValue="407.5"/>
    </cacheField>
    <cacheField name="Kilo" numFmtId="0">
      <sharedItems containsSemiMixedTypes="0" containsString="0" containsNumber="1" minValue="50" maxValue="181.4"/>
    </cacheField>
    <cacheField name="İdealKilo" numFmtId="0">
      <sharedItems/>
    </cacheField>
    <cacheField name="Durum" numFmtId="0">
      <sharedItems count="7">
        <s v="Normal"/>
        <s v="Hafif şişman"/>
        <s v="2. Dereceden obez"/>
        <s v="Aşırı Zayıf"/>
        <s v="Hafif Zayıf"/>
        <s v="Orta Zayıf"/>
        <s v="3. Dereceden obe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160"/>
    <n v="56"/>
    <s v="58 kg"/>
    <x v="0"/>
  </r>
  <r>
    <x v="1"/>
    <n v="165"/>
    <n v="80"/>
    <s v="61 kg"/>
    <x v="1"/>
  </r>
  <r>
    <x v="2"/>
    <n v="155"/>
    <n v="90"/>
    <s v="54 kg"/>
    <x v="2"/>
  </r>
  <r>
    <x v="3"/>
    <n v="190"/>
    <n v="50"/>
    <s v="80 kg"/>
    <x v="3"/>
  </r>
  <r>
    <x v="0"/>
    <n v="195"/>
    <n v="99"/>
    <s v="84 kg"/>
    <x v="1"/>
  </r>
  <r>
    <x v="1"/>
    <n v="207.5"/>
    <n v="91.8"/>
    <s v="93 kg"/>
    <x v="0"/>
  </r>
  <r>
    <x v="2"/>
    <n v="220"/>
    <n v="97.4"/>
    <s v="102 kg"/>
    <x v="0"/>
  </r>
  <r>
    <x v="3"/>
    <n v="232.5"/>
    <n v="103"/>
    <s v="112 kg"/>
    <x v="0"/>
  </r>
  <r>
    <x v="0"/>
    <n v="245"/>
    <n v="108.6"/>
    <s v="121 kg"/>
    <x v="4"/>
  </r>
  <r>
    <x v="1"/>
    <n v="257.5"/>
    <n v="114.2"/>
    <s v="131 kg"/>
    <x v="4"/>
  </r>
  <r>
    <x v="2"/>
    <n v="270"/>
    <n v="119.8"/>
    <s v="140 kg"/>
    <x v="5"/>
  </r>
  <r>
    <x v="3"/>
    <n v="282.5"/>
    <n v="125.4"/>
    <s v="149 kg"/>
    <x v="3"/>
  </r>
  <r>
    <x v="0"/>
    <n v="295"/>
    <n v="131"/>
    <s v="159 kg"/>
    <x v="3"/>
  </r>
  <r>
    <x v="1"/>
    <n v="307.5"/>
    <n v="136.6"/>
    <s v="168 kg"/>
    <x v="3"/>
  </r>
  <r>
    <x v="2"/>
    <n v="320"/>
    <n v="142.19999999999999"/>
    <s v="178 kg"/>
    <x v="3"/>
  </r>
  <r>
    <x v="3"/>
    <n v="332.5"/>
    <n v="147.80000000000001"/>
    <s v="187 kg"/>
    <x v="3"/>
  </r>
  <r>
    <x v="0"/>
    <n v="345"/>
    <n v="153.4"/>
    <s v="196 kg"/>
    <x v="3"/>
  </r>
  <r>
    <x v="1"/>
    <n v="150"/>
    <n v="159"/>
    <s v="50 kg"/>
    <x v="6"/>
  </r>
  <r>
    <x v="2"/>
    <n v="370"/>
    <n v="164.6"/>
    <s v="215 kg"/>
    <x v="3"/>
  </r>
  <r>
    <x v="3"/>
    <n v="382.5"/>
    <n v="170.2"/>
    <s v="224 kg"/>
    <x v="3"/>
  </r>
  <r>
    <x v="0"/>
    <n v="395"/>
    <n v="175.8"/>
    <s v="234 kg"/>
    <x v="3"/>
  </r>
  <r>
    <x v="1"/>
    <n v="407.5"/>
    <n v="181.4"/>
    <s v="243 kg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753B0-18E0-4F90-8BE3-2226A8F9565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G10:H18" firstHeaderRow="1" firstDataRow="1" firstDataCol="1"/>
  <pivotFields count="5">
    <pivotField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axis="axisRow" showAll="0" sortType="ascending">
      <items count="8">
        <item x="2"/>
        <item x="6"/>
        <item x="3"/>
        <item x="1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8">
    <i>
      <x v="1"/>
    </i>
    <i>
      <x v="6"/>
    </i>
    <i>
      <x/>
    </i>
    <i>
      <x v="3"/>
    </i>
    <i>
      <x v="4"/>
    </i>
    <i>
      <x v="5"/>
    </i>
    <i>
      <x v="2"/>
    </i>
    <i t="grand">
      <x/>
    </i>
  </rowItems>
  <colItems count="1">
    <i/>
  </colItems>
  <dataFields count="1">
    <dataField name="Count of Kişiler" fld="0" subtotal="count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fb t="s">Çift Sayıdır</fb>
    <v>&lt;class 'str'&gt;</v>
    <v>str</v>
    <v>Çift Sayıdır</v>
    <v>Çift Sayıdır</v>
    <v>0</v>
  </rv>
  <rv s="1">
    <fb>0</fb>
    <v>1</v>
  </rv>
  <rv s="2">
    <fb>0</fb>
    <v>&lt;class 'NoneType'&gt;</v>
    <v>NoneType</v>
    <v>None</v>
    <v>1</v>
    <v>0</v>
  </rv>
  <rv s="3">
    <v>14</v>
  </rv>
</rvData>
</file>

<file path=xl/richData/rdrichvaluestructure.xml><?xml version="1.0" encoding="utf-8"?>
<rvStructures xmlns="http://schemas.microsoft.com/office/spreadsheetml/2017/richdata" count="4">
  <s t="_python">
    <k n="Python_type" t="s"/>
    <k n="Python_typeName" t="s"/>
    <k n="Python_str" t="s"/>
    <k n="basicValue" t="s"/>
    <k n="_Provider" t="spb"/>
  </s>
  <s t="_formattednumber">
    <k n="_Format" t="spb"/>
  </s>
  <s t="_python">
    <k n="Python_type" t="s"/>
    <k n="Python_typeName" t="s"/>
    <k n="Python_str" t="s"/>
    <k n="preview" t="r"/>
    <k n="_Provider" t="spb"/>
  </s>
  <s t="_error">
    <k n="errorType" t="i"/>
  </s>
</rvStructures>
</file>

<file path=xl/richData/rdsupportingpropertybag.xml><?xml version="1.0" encoding="utf-8"?>
<supportingPropertyBags xmlns="http://schemas.microsoft.com/office/spreadsheetml/2017/richdata2">
  <spbData count="2">
    <spb s="0">
      <v>https://www.anaconda.com/excel</v>
      <v>https://res.cdn.office.net/officepysvc/prod-service/anacondalogo.png</v>
      <v>Python provided by Anaconda</v>
    </spb>
    <spb s="1"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link" t="s"/>
    <k n="logo" t="s"/>
    <k n="name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978BE-B1A5-4366-B85D-82F572AE81AF}" name="Table1" displayName="Table1" ref="A1:E23" totalsRowShown="0">
  <autoFilter ref="A1:E23" xr:uid="{798978BE-B1A5-4366-B85D-82F572AE81AF}"/>
  <tableColumns count="5">
    <tableColumn id="1" xr3:uid="{24344DA2-0E4A-4B9D-AC99-2C5F4AA2820D}" name="Kişiler"/>
    <tableColumn id="2" xr3:uid="{6BA9EE2A-C942-44B0-8E14-C6B19F3210CB}" name="Boy"/>
    <tableColumn id="4" xr3:uid="{4C788050-C688-4F9E-8ECF-B522600EA751}" name="Kilo"/>
    <tableColumn id="3" xr3:uid="{4711AE0F-5125-4202-9AC6-BBF3781B1116}" name="İdealKilo" dataDxfId="1">
      <calculatedColumnFormula array="1">_xlfn._xlws.PY(4,0,Table1[[#This Row],[Boy]])</calculatedColumnFormula>
    </tableColumn>
    <tableColumn id="5" xr3:uid="{BE5B6F9E-1B9C-4D06-B211-255FDA0721E4}" name="Durum" dataDxfId="0">
      <calculatedColumnFormula array="1">_xlfn._xlws.PY(5,0,Table1[[#This Row],[Boy]],Table1[[#This Row],[Kilo]])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60" zoomScaleNormal="160" workbookViewId="0">
      <selection activeCell="A5" sqref="A5"/>
    </sheetView>
  </sheetViews>
  <sheetFormatPr defaultRowHeight="15" x14ac:dyDescent="0.25"/>
  <cols>
    <col min="2" max="2" width="12.85546875" customWidth="1"/>
  </cols>
  <sheetData>
    <row r="1" spans="1:2" x14ac:dyDescent="0.25">
      <c r="A1" t="s">
        <v>0</v>
      </c>
      <c r="B1">
        <v>12</v>
      </c>
    </row>
    <row r="2" spans="1:2" x14ac:dyDescent="0.25">
      <c r="A2" t="s">
        <v>1</v>
      </c>
      <c r="B2" s="1" t="str" cm="1" vm="1">
        <f t="array" aca="1" ref="B2" ca="1">_xlfn._xlws.PY(0,1,B1)</f>
        <v>Çift Sayıdır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BC7C-EE0E-493B-9C97-EA2BD1A40ACA}">
  <dimension ref="A1:C4"/>
  <sheetViews>
    <sheetView zoomScale="160" zoomScaleNormal="160" workbookViewId="0">
      <selection activeCell="A4" sqref="A4"/>
    </sheetView>
  </sheetViews>
  <sheetFormatPr defaultRowHeight="15" x14ac:dyDescent="0.25"/>
  <cols>
    <col min="1" max="1" width="24.140625" bestFit="1" customWidth="1"/>
    <col min="2" max="2" width="55.5703125" bestFit="1" customWidth="1"/>
    <col min="3" max="3" width="12.28515625" bestFit="1" customWidth="1"/>
  </cols>
  <sheetData>
    <row r="1" spans="1:3" x14ac:dyDescent="0.25">
      <c r="A1" s="6" t="s">
        <v>9</v>
      </c>
      <c r="B1" s="6" t="s">
        <v>10</v>
      </c>
      <c r="C1" s="6" t="s">
        <v>11</v>
      </c>
    </row>
    <row r="2" spans="1:3" x14ac:dyDescent="0.25">
      <c r="A2" s="4" t="s">
        <v>12</v>
      </c>
      <c r="B2" s="3" t="s">
        <v>13</v>
      </c>
      <c r="C2" s="5" cm="1" vm="2">
        <f t="array" aca="1" ref="C2" ca="1">_xlfn._xlws.PY(1,1)</f>
        <v>0</v>
      </c>
    </row>
    <row r="3" spans="1:3" x14ac:dyDescent="0.25">
      <c r="A3" s="4" t="s">
        <v>15</v>
      </c>
      <c r="B3" s="3" t="s">
        <v>14</v>
      </c>
      <c r="C3" s="5" cm="1" vm="2">
        <f t="array" aca="1" ref="C3" ca="1">_xlfn._xlws.PY(2,1)</f>
        <v>0</v>
      </c>
    </row>
    <row r="4" spans="1:3" x14ac:dyDescent="0.25">
      <c r="A4" s="4" t="s">
        <v>16</v>
      </c>
      <c r="B4" s="3" t="s">
        <v>17</v>
      </c>
      <c r="C4" s="5" cm="1" vm="2">
        <f t="array" aca="1" ref="C4" ca="1">_xlfn._xlws.PY(3,1)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8BA6-98FB-4ED1-BB69-EE9E29C22995}">
  <dimension ref="A1:H23"/>
  <sheetViews>
    <sheetView tabSelected="1" zoomScale="130" zoomScaleNormal="130" workbookViewId="0">
      <selection activeCell="O2" sqref="O2"/>
    </sheetView>
  </sheetViews>
  <sheetFormatPr defaultRowHeight="15" x14ac:dyDescent="0.25"/>
  <cols>
    <col min="2" max="3" width="13.140625" customWidth="1"/>
    <col min="4" max="4" width="11.140625" bestFit="1" customWidth="1"/>
    <col min="5" max="5" width="17.7109375" bestFit="1" customWidth="1"/>
    <col min="7" max="7" width="17.7109375" bestFit="1" customWidth="1"/>
    <col min="8" max="8" width="14.7109375" bestFit="1" customWidth="1"/>
    <col min="9" max="9" width="5.28515625" bestFit="1" customWidth="1"/>
    <col min="10" max="10" width="6.42578125" bestFit="1" customWidth="1"/>
    <col min="11" max="11" width="4.5703125" bestFit="1" customWidth="1"/>
    <col min="12" max="12" width="11.28515625" bestFit="1" customWidth="1"/>
    <col min="15" max="15" width="15.7109375" customWidth="1"/>
  </cols>
  <sheetData>
    <row r="1" spans="1:8" x14ac:dyDescent="0.25">
      <c r="A1" t="s">
        <v>2</v>
      </c>
      <c r="B1" t="s">
        <v>3</v>
      </c>
      <c r="C1" t="s">
        <v>18</v>
      </c>
      <c r="D1" s="2" t="s">
        <v>4</v>
      </c>
      <c r="E1" s="2" t="s">
        <v>1</v>
      </c>
    </row>
    <row r="2" spans="1:8" x14ac:dyDescent="0.25">
      <c r="A2" t="s">
        <v>5</v>
      </c>
      <c r="B2">
        <v>160</v>
      </c>
      <c r="C2">
        <v>56</v>
      </c>
      <c r="D2" t="str" cm="1">
        <f t="array" aca="1" ref="D2" ca="1">_xlfn._xlws.PY(4,0,Table1[[#This Row],[Boy]])</f>
        <v>58 kg</v>
      </c>
      <c r="E2" t="str" cm="1">
        <f t="array" aca="1" ref="E2" ca="1">_xlfn._xlws.PY(5,0,Table1[[#This Row],[Boy]],Table1[[#This Row],[Kilo]])</f>
        <v>Normal</v>
      </c>
    </row>
    <row r="3" spans="1:8" x14ac:dyDescent="0.25">
      <c r="A3" t="s">
        <v>6</v>
      </c>
      <c r="B3">
        <v>165</v>
      </c>
      <c r="C3">
        <v>80</v>
      </c>
      <c r="D3" t="str" cm="1">
        <f t="array" aca="1" ref="D3" ca="1">_xlfn._xlws.PY(4,0,Table1[[#This Row],[Boy]])</f>
        <v>61 kg</v>
      </c>
      <c r="E3" t="str" cm="1">
        <f t="array" aca="1" ref="E3" ca="1">_xlfn._xlws.PY(5,0,Table1[[#This Row],[Boy]],Table1[[#This Row],[Kilo]])</f>
        <v>Hafif şişman</v>
      </c>
    </row>
    <row r="4" spans="1:8" x14ac:dyDescent="0.25">
      <c r="A4" t="s">
        <v>7</v>
      </c>
      <c r="B4">
        <v>155</v>
      </c>
      <c r="C4">
        <v>90</v>
      </c>
      <c r="D4" t="str" cm="1">
        <f t="array" aca="1" ref="D4" ca="1">_xlfn._xlws.PY(4,0,Table1[[#This Row],[Boy]])</f>
        <v>54 kg</v>
      </c>
      <c r="E4" t="str" cm="1">
        <f t="array" aca="1" ref="E4" ca="1">_xlfn._xlws.PY(5,0,Table1[[#This Row],[Boy]],Table1[[#This Row],[Kilo]])</f>
        <v>2. Dereceden obez</v>
      </c>
    </row>
    <row r="5" spans="1:8" x14ac:dyDescent="0.25">
      <c r="A5" t="s">
        <v>8</v>
      </c>
      <c r="B5">
        <v>190</v>
      </c>
      <c r="C5">
        <v>50</v>
      </c>
      <c r="D5" t="str" cm="1">
        <f t="array" aca="1" ref="D5" ca="1">_xlfn._xlws.PY(4,0,Table1[[#This Row],[Boy]])</f>
        <v>80 kg</v>
      </c>
      <c r="E5" t="str" cm="1">
        <f t="array" aca="1" ref="E5" ca="1">_xlfn._xlws.PY(5,0,Table1[[#This Row],[Boy]],Table1[[#This Row],[Kilo]])</f>
        <v>Aşırı Zayıf</v>
      </c>
    </row>
    <row r="6" spans="1:8" x14ac:dyDescent="0.25">
      <c r="A6" t="s">
        <v>5</v>
      </c>
      <c r="B6">
        <v>195</v>
      </c>
      <c r="C6">
        <v>99</v>
      </c>
      <c r="D6" s="7" t="str" cm="1">
        <f t="array" aca="1" ref="D6" ca="1">_xlfn._xlws.PY(4,0,Table1[[#This Row],[Boy]])</f>
        <v>84 kg</v>
      </c>
      <c r="E6" s="7" t="str" cm="1">
        <f t="array" aca="1" ref="E6" ca="1">_xlfn._xlws.PY(5,0,Table1[[#This Row],[Boy]],Table1[[#This Row],[Kilo]])</f>
        <v>Hafif şişman</v>
      </c>
    </row>
    <row r="7" spans="1:8" x14ac:dyDescent="0.25">
      <c r="A7" t="s">
        <v>6</v>
      </c>
      <c r="B7">
        <v>207.5</v>
      </c>
      <c r="C7">
        <v>91.8</v>
      </c>
      <c r="D7" s="7" t="str" cm="1">
        <f t="array" aca="1" ref="D7" ca="1">_xlfn._xlws.PY(4,0,Table1[[#This Row],[Boy]])</f>
        <v>93 kg</v>
      </c>
      <c r="E7" s="7" t="str" cm="1">
        <f t="array" aca="1" ref="E7" ca="1">_xlfn._xlws.PY(5,0,Table1[[#This Row],[Boy]],Table1[[#This Row],[Kilo]])</f>
        <v>Normal</v>
      </c>
    </row>
    <row r="8" spans="1:8" x14ac:dyDescent="0.25">
      <c r="A8" t="s">
        <v>7</v>
      </c>
      <c r="B8">
        <v>220</v>
      </c>
      <c r="C8">
        <v>97.4</v>
      </c>
      <c r="D8" s="7" t="str" cm="1">
        <f t="array" aca="1" ref="D8" ca="1">_xlfn._xlws.PY(4,0,Table1[[#This Row],[Boy]])</f>
        <v>102 kg</v>
      </c>
      <c r="E8" s="7" t="str" cm="1">
        <f t="array" aca="1" ref="E8" ca="1">_xlfn._xlws.PY(5,0,Table1[[#This Row],[Boy]],Table1[[#This Row],[Kilo]])</f>
        <v>Normal</v>
      </c>
    </row>
    <row r="9" spans="1:8" x14ac:dyDescent="0.25">
      <c r="A9" t="s">
        <v>8</v>
      </c>
      <c r="B9">
        <v>232.5</v>
      </c>
      <c r="C9">
        <v>103</v>
      </c>
      <c r="D9" s="7" t="str" cm="1">
        <f t="array" aca="1" ref="D9" ca="1">_xlfn._xlws.PY(4,0,Table1[[#This Row],[Boy]])</f>
        <v>112 kg</v>
      </c>
      <c r="E9" s="7" t="str" cm="1">
        <f t="array" aca="1" ref="E9" ca="1">_xlfn._xlws.PY(5,0,Table1[[#This Row],[Boy]],Table1[[#This Row],[Kilo]])</f>
        <v>Normal</v>
      </c>
    </row>
    <row r="10" spans="1:8" x14ac:dyDescent="0.25">
      <c r="A10" t="s">
        <v>5</v>
      </c>
      <c r="B10">
        <v>245</v>
      </c>
      <c r="C10">
        <v>108.6</v>
      </c>
      <c r="D10" s="7" t="str" cm="1">
        <f t="array" aca="1" ref="D10" ca="1">_xlfn._xlws.PY(4,0,Table1[[#This Row],[Boy]])</f>
        <v>121 kg</v>
      </c>
      <c r="E10" s="7" t="str" cm="1">
        <f t="array" aca="1" ref="E10" ca="1">_xlfn._xlws.PY(5,0,Table1[[#This Row],[Boy]],Table1[[#This Row],[Kilo]])</f>
        <v>Hafif Zayıf</v>
      </c>
      <c r="G10" s="8" t="s">
        <v>19</v>
      </c>
      <c r="H10" t="s">
        <v>28</v>
      </c>
    </row>
    <row r="11" spans="1:8" x14ac:dyDescent="0.25">
      <c r="A11" t="s">
        <v>6</v>
      </c>
      <c r="B11">
        <v>257.5</v>
      </c>
      <c r="C11">
        <v>114.2</v>
      </c>
      <c r="D11" s="7" t="str" cm="1">
        <f t="array" aca="1" ref="D11" ca="1">_xlfn._xlws.PY(4,0,Table1[[#This Row],[Boy]])</f>
        <v>131 kg</v>
      </c>
      <c r="E11" s="7" t="str" cm="1">
        <f t="array" aca="1" ref="E11" ca="1">_xlfn._xlws.PY(5,0,Table1[[#This Row],[Boy]],Table1[[#This Row],[Kilo]])</f>
        <v>Hafif Zayıf</v>
      </c>
      <c r="G11" s="9" t="s">
        <v>21</v>
      </c>
      <c r="H11" s="7">
        <v>1</v>
      </c>
    </row>
    <row r="12" spans="1:8" x14ac:dyDescent="0.25">
      <c r="A12" t="s">
        <v>7</v>
      </c>
      <c r="B12">
        <v>270</v>
      </c>
      <c r="C12">
        <v>119.8</v>
      </c>
      <c r="D12" s="7" t="str" cm="1">
        <f t="array" aca="1" ref="D12" ca="1">_xlfn._xlws.PY(4,0,Table1[[#This Row],[Boy]])</f>
        <v>140 kg</v>
      </c>
      <c r="E12" s="7" t="str" cm="1">
        <f t="array" aca="1" ref="E12" ca="1">_xlfn._xlws.PY(5,0,Table1[[#This Row],[Boy]],Table1[[#This Row],[Kilo]])</f>
        <v>Orta Zayıf</v>
      </c>
      <c r="G12" s="9" t="s">
        <v>26</v>
      </c>
      <c r="H12" s="7">
        <v>1</v>
      </c>
    </row>
    <row r="13" spans="1:8" x14ac:dyDescent="0.25">
      <c r="A13" t="s">
        <v>8</v>
      </c>
      <c r="B13">
        <v>282.5</v>
      </c>
      <c r="C13">
        <v>125.4</v>
      </c>
      <c r="D13" s="7" t="str" cm="1">
        <f t="array" aca="1" ref="D13" ca="1">_xlfn._xlws.PY(4,0,Table1[[#This Row],[Boy]])</f>
        <v>149 kg</v>
      </c>
      <c r="E13" s="7" t="str" cm="1">
        <f t="array" aca="1" ref="E13" ca="1">_xlfn._xlws.PY(5,0,Table1[[#This Row],[Boy]],Table1[[#This Row],[Kilo]])</f>
        <v>Aşırı Zayıf</v>
      </c>
      <c r="G13" s="9" t="s">
        <v>20</v>
      </c>
      <c r="H13" s="7">
        <v>1</v>
      </c>
    </row>
    <row r="14" spans="1:8" x14ac:dyDescent="0.25">
      <c r="A14" t="s">
        <v>5</v>
      </c>
      <c r="B14">
        <v>295</v>
      </c>
      <c r="C14">
        <v>131</v>
      </c>
      <c r="D14" s="7" t="str" cm="1">
        <f t="array" aca="1" ref="D14" ca="1">_xlfn._xlws.PY(4,0,Table1[[#This Row],[Boy]])</f>
        <v>159 kg</v>
      </c>
      <c r="E14" s="7" t="str" cm="1">
        <f t="array" aca="1" ref="E14" ca="1">_xlfn._xlws.PY(5,0,Table1[[#This Row],[Boy]],Table1[[#This Row],[Kilo]])</f>
        <v>Aşırı Zayıf</v>
      </c>
      <c r="G14" s="9" t="s">
        <v>23</v>
      </c>
      <c r="H14" s="7">
        <v>2</v>
      </c>
    </row>
    <row r="15" spans="1:8" x14ac:dyDescent="0.25">
      <c r="A15" t="s">
        <v>6</v>
      </c>
      <c r="B15">
        <v>307.5</v>
      </c>
      <c r="C15">
        <v>136.6</v>
      </c>
      <c r="D15" s="7" t="str" cm="1">
        <f t="array" aca="1" ref="D15" ca="1">_xlfn._xlws.PY(4,0,Table1[[#This Row],[Boy]])</f>
        <v>168 kg</v>
      </c>
      <c r="E15" s="7" t="str" cm="1">
        <f t="array" aca="1" ref="E15" ca="1">_xlfn._xlws.PY(5,0,Table1[[#This Row],[Boy]],Table1[[#This Row],[Kilo]])</f>
        <v>Aşırı Zayıf</v>
      </c>
      <c r="G15" s="9" t="s">
        <v>24</v>
      </c>
      <c r="H15" s="7">
        <v>2</v>
      </c>
    </row>
    <row r="16" spans="1:8" x14ac:dyDescent="0.25">
      <c r="A16" t="s">
        <v>7</v>
      </c>
      <c r="B16">
        <v>320</v>
      </c>
      <c r="C16">
        <v>142.19999999999999</v>
      </c>
      <c r="D16" s="7" t="str" cm="1">
        <f t="array" aca="1" ref="D16" ca="1">_xlfn._xlws.PY(4,0,Table1[[#This Row],[Boy]])</f>
        <v>178 kg</v>
      </c>
      <c r="E16" s="7" t="str" cm="1">
        <f t="array" aca="1" ref="E16" ca="1">_xlfn._xlws.PY(5,0,Table1[[#This Row],[Boy]],Table1[[#This Row],[Kilo]])</f>
        <v>Aşırı Zayıf</v>
      </c>
      <c r="G16" s="9" t="s">
        <v>25</v>
      </c>
      <c r="H16" s="7">
        <v>4</v>
      </c>
    </row>
    <row r="17" spans="1:8" x14ac:dyDescent="0.25">
      <c r="A17" t="s">
        <v>8</v>
      </c>
      <c r="B17">
        <v>332.5</v>
      </c>
      <c r="C17">
        <v>147.80000000000001</v>
      </c>
      <c r="D17" s="7" t="str" cm="1">
        <f t="array" aca="1" ref="D17" ca="1">_xlfn._xlws.PY(4,0,Table1[[#This Row],[Boy]])</f>
        <v>187 kg</v>
      </c>
      <c r="E17" s="7" t="str" cm="1">
        <f t="array" aca="1" ref="E17" ca="1">_xlfn._xlws.PY(5,0,Table1[[#This Row],[Boy]],Table1[[#This Row],[Kilo]])</f>
        <v>Aşırı Zayıf</v>
      </c>
      <c r="G17" s="9" t="s">
        <v>22</v>
      </c>
      <c r="H17" s="7">
        <v>11</v>
      </c>
    </row>
    <row r="18" spans="1:8" x14ac:dyDescent="0.25">
      <c r="A18" t="s">
        <v>5</v>
      </c>
      <c r="B18">
        <v>345</v>
      </c>
      <c r="C18">
        <v>153.4</v>
      </c>
      <c r="D18" s="7" t="str" cm="1">
        <f t="array" aca="1" ref="D18" ca="1">_xlfn._xlws.PY(4,0,Table1[[#This Row],[Boy]])</f>
        <v>196 kg</v>
      </c>
      <c r="E18" s="7" t="str" cm="1">
        <f t="array" aca="1" ref="E18" ca="1">_xlfn._xlws.PY(5,0,Table1[[#This Row],[Boy]],Table1[[#This Row],[Kilo]])</f>
        <v>Aşırı Zayıf</v>
      </c>
      <c r="G18" s="9" t="s">
        <v>27</v>
      </c>
      <c r="H18" s="7">
        <v>22</v>
      </c>
    </row>
    <row r="19" spans="1:8" x14ac:dyDescent="0.25">
      <c r="A19" t="s">
        <v>6</v>
      </c>
      <c r="B19">
        <v>150</v>
      </c>
      <c r="C19">
        <v>159</v>
      </c>
      <c r="D19" s="7" t="str" cm="1">
        <f t="array" aca="1" ref="D19" ca="1">_xlfn._xlws.PY(4,0,Table1[[#This Row],[Boy]])</f>
        <v>50 kg</v>
      </c>
      <c r="E19" s="7" t="str" cm="1">
        <f t="array" aca="1" ref="E19" ca="1">_xlfn._xlws.PY(5,0,Table1[[#This Row],[Boy]],Table1[[#This Row],[Kilo]])</f>
        <v>3. Dereceden obez</v>
      </c>
    </row>
    <row r="20" spans="1:8" x14ac:dyDescent="0.25">
      <c r="A20" t="s">
        <v>7</v>
      </c>
      <c r="B20">
        <v>370</v>
      </c>
      <c r="C20">
        <v>164.6</v>
      </c>
      <c r="D20" s="7" t="str" cm="1">
        <f t="array" aca="1" ref="D20" ca="1">_xlfn._xlws.PY(4,0,Table1[[#This Row],[Boy]])</f>
        <v>215 kg</v>
      </c>
      <c r="E20" s="7" t="str" cm="1">
        <f t="array" aca="1" ref="E20" ca="1">_xlfn._xlws.PY(5,0,Table1[[#This Row],[Boy]],Table1[[#This Row],[Kilo]])</f>
        <v>Aşırı Zayıf</v>
      </c>
    </row>
    <row r="21" spans="1:8" x14ac:dyDescent="0.25">
      <c r="A21" t="s">
        <v>8</v>
      </c>
      <c r="B21">
        <v>382.5</v>
      </c>
      <c r="C21">
        <v>170.2</v>
      </c>
      <c r="D21" s="7" t="str" cm="1">
        <f t="array" aca="1" ref="D21" ca="1">_xlfn._xlws.PY(4,0,Table1[[#This Row],[Boy]])</f>
        <v>224 kg</v>
      </c>
      <c r="E21" s="7" t="str" cm="1">
        <f t="array" aca="1" ref="E21" ca="1">_xlfn._xlws.PY(5,0,Table1[[#This Row],[Boy]],Table1[[#This Row],[Kilo]])</f>
        <v>Aşırı Zayıf</v>
      </c>
    </row>
    <row r="22" spans="1:8" x14ac:dyDescent="0.25">
      <c r="A22" t="s">
        <v>5</v>
      </c>
      <c r="B22">
        <v>395</v>
      </c>
      <c r="C22">
        <v>175.8</v>
      </c>
      <c r="D22" s="7" t="str" cm="1">
        <f t="array" aca="1" ref="D22" ca="1">_xlfn._xlws.PY(4,0,Table1[[#This Row],[Boy]])</f>
        <v>234 kg</v>
      </c>
      <c r="E22" s="7" t="str" cm="1">
        <f t="array" aca="1" ref="E22" ca="1">_xlfn._xlws.PY(5,0,Table1[[#This Row],[Boy]],Table1[[#This Row],[Kilo]])</f>
        <v>Aşırı Zayıf</v>
      </c>
    </row>
    <row r="23" spans="1:8" x14ac:dyDescent="0.25">
      <c r="A23" t="s">
        <v>6</v>
      </c>
      <c r="B23">
        <v>407.5</v>
      </c>
      <c r="C23">
        <v>181.4</v>
      </c>
      <c r="D23" s="7" t="str" cm="1">
        <f t="array" aca="1" ref="D23" ca="1">_xlfn._xlws.PY(4,0,Table1[[#This Row],[Boy]])</f>
        <v>243 kg</v>
      </c>
      <c r="E23" s="7" t="str" cm="1">
        <f t="array" aca="1" ref="E23" ca="1">_xlfn._xlws.PY(5,0,Table1[[#This Row],[Boy]],Table1[[#This Row],[Kilo]])</f>
        <v>Aşırı Zayıf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ilkOrnek</vt:lpstr>
      <vt:lpstr>Formuller</vt:lpstr>
      <vt:lpstr>Kisler</vt:lpstr>
      <vt:lpstr>KislerTablosu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KİSE</dc:creator>
  <cp:lastModifiedBy>Abdullah Kise</cp:lastModifiedBy>
  <dcterms:created xsi:type="dcterms:W3CDTF">2015-06-05T18:17:20Z</dcterms:created>
  <dcterms:modified xsi:type="dcterms:W3CDTF">2026-10-05T18:23:08Z</dcterms:modified>
</cp:coreProperties>
</file>
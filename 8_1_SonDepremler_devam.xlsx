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bdullah\Documents\GitHub\Python_in_Excel_and_PowerBI\"/>
    </mc:Choice>
  </mc:AlternateContent>
  <xr:revisionPtr revIDLastSave="0" documentId="13_ncr:1_{F309A238-A392-4C2B-89DB-5FADB5D4B8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 a="1"/>
  <c r="A23" i="1" s="1" a="1"/>
  <c r="A44" i="1" s="1" a="1"/>
  <c r="A56" i="1" s="1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FD83AB-DC8C-4FF7-8B13-849C0AEAFEBE}" keepAlive="1" name="Query - HTML" description="Connection to the 'HTML' query in the workbook." type="5" refreshedVersion="0" background="1">
    <dbPr connection="Provider=Microsoft.Mashup.OleDb.1;Data Source=$Workbook$;Location=HTML;Extended Properties=&quot;&quot;" command="SELECT * FROM [HTML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</futureMetadata>
  <cellMetadata count="1">
    <bk>
      <rc t="1" v="0"/>
    </bk>
  </cellMetadata>
  <valueMetadata count="25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 xml:space="preserve">import io
from bs4 import BeautifulSoup
#------
df = xl(%P2%)
cevap = df.iloc[0,0]
#
soup = BeautifulSoup(cevap, "html.parser")
#
str_son_depremler = soup.pre.text
#
#print(str_son_depremler)
io_son_depremler = io.StringIO(str_son_depremler)
#
df_son_depremler = pd.read_csv(io_son_depremler,delimiter="\s+",
                        skiprows=7,
                        usecols = [0,1,2,3,4,5,6,7,8,9],
                        names=["Tarih","Saat","Enlem","Boylam","Derinlik","MD","ML","Mw","Yer","Tip"],
                        parse_dates=[["Tarih","Saat"]],
                        index_col = "Tarih_Saat"
                        )
#df_son_depremler
#-------------------------------------
#df_son_depremler.query("Tip.str.contains('BALIKESIR')")
df_son_depremler.loc[:, ["ML"]].boxplot()
#----------------------------------------
Q1 = df_son_depremler["ML"].quantile(0.25)
Q2 = df_son_depremler["ML"].quantile(0.50)
Q3 = df_son_depremler["ML"].quantile(0.75)
#IQR = Inter quartile Range
IQR = Q3-Q1
#
alt_sinir = Q1-1.5*IQR
ust_sinir = Q3+1.5*IQR
#yuvarlalım
alt_sinir = round(alt_sinir,2)
ust_sinir = round(ust_sinir,2)
IQR = round(IQR,2)
#
print(f"{Q1=}\n{Q2=}\n{Q3=}\n{IQR=}")
print("-"*10)
print(f"{alt_sinir=}\n{ust_sinir=}")
</code>
    </pythonScript>
    <pythonScript>
      <code>df_son_depremler.query("ML &gt; @ust_sinir")</code>
    </pythonScript>
    <pythonScript>
      <code xml:space="preserve">df_siddetli_son_depremler = df_son_depremler.query("ML &gt; @ust_sinir")
df_siddetli_son_depremler = df_siddetli_son_depremler.loc[:,["ML"]]
#zamana ozel bir gruplama fonksiyonu mevcut.
#Y = yıl, M = ay, D=gün, H=saat, T=dakika , S=Saniye ile gruplayabiliriz. periyodlar.
#\ ile koda alt satırdan devam edeceğiz demiş oluruz
df_siddetli_son_depremler.resample("D")\
                        .agg(["count","mean","min","max"])
</code>
    </pythonScript>
    <pythonScript>
      <code>df_siddetli_son_depremler_min_max = df_siddetli_son_depremler.resample("D").agg(["min","max"])
#gorselleştirelim
import matplotlib.pyplot as plt
#
fig, axs = plt.subplots(1,2 , figsize=(15,3)) #1,2 demek 1 satır 2 sutunluk çizim alanı
#axeslere çizim yapalım
df_siddetli_son_depremler_min_max.plot(ax = axs[0])
df_siddetli_son_depremler_min_max.boxplot(ax = axs[1])
plt.annotate(text = "Burası anormal büyük",
                xy=(4,1),
                xytext=(3.8, 0),
                arrowprops = {
                                "facecolor":"blue",
                                "arrowstyle":"fancy",
                                "connectionstyle":"angle3"
                            }
                )
plt.show()</code>
    </pythonScript>
  </pythonScripts>
</pytho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alcChain" Target="calcChain.xml"/><Relationship Id="rId3" Type="http://schemas.openxmlformats.org/officeDocument/2006/relationships/connections" Target="connections.xml"/><Relationship Id="rId7" Type="http://schemas.microsoft.com/office/2017/06/relationships/rdRichValue" Target="richData/rdrichvalue.xml"/><Relationship Id="rId12" Type="http://schemas.microsoft.com/office/2017/06/relationships/rdRichValueTypes" Target="richData/rdRichValueTyp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microsoft.com/office/2017/06/relationships/rdSupportingPropertyBag" Target="richData/rdsupportingpropertybag.xml"/><Relationship Id="rId5" Type="http://schemas.openxmlformats.org/officeDocument/2006/relationships/sheetMetadata" Target="metadata.xml"/><Relationship Id="rId15" Type="http://schemas.microsoft.com/office/2023/09/relationships/Python" Target="python.xml"/><Relationship Id="rId10" Type="http://schemas.microsoft.com/office/2017/06/relationships/rdSupportingPropertyBagStructure" Target="richData/rdsupportingpropertybagstructure.xml"/><Relationship Id="rId4" Type="http://schemas.openxmlformats.org/officeDocument/2006/relationships/styles" Target="styles.xml"/><Relationship Id="rId9" Type="http://schemas.microsoft.com/office/2017/06/relationships/richStyles" Target="richData/richStyles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1544203</xdr:colOff>
      <xdr:row>19</xdr:row>
      <xdr:rowOff>156979</xdr:rowOff>
    </xdr:to>
    <xdr:pic>
      <xdr:nvPicPr>
        <xdr:cNvPr id="3" name="Picture 2" descr="Image generated by Python">
          <a:extLst>
            <a:ext uri="{FF2B5EF4-FFF2-40B4-BE49-F238E27FC236}">
              <a16:creationId xmlns:a16="http://schemas.microsoft.com/office/drawing/2014/main" id="{C19C53BD-4C5B-B87C-3CB3-637F8B1F0181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Sheet1!A1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001778" cy="377647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</xdr:row>
      <xdr:rowOff>1</xdr:rowOff>
    </xdr:from>
    <xdr:to>
      <xdr:col>17</xdr:col>
      <xdr:colOff>28574</xdr:colOff>
      <xdr:row>74</xdr:row>
      <xdr:rowOff>19051</xdr:rowOff>
    </xdr:to>
    <xdr:pic>
      <xdr:nvPicPr>
        <xdr:cNvPr id="4" name="Picture 3" descr="Image generated by Python">
          <a:extLst>
            <a:ext uri="{FF2B5EF4-FFF2-40B4-BE49-F238E27FC236}">
              <a16:creationId xmlns:a16="http://schemas.microsoft.com/office/drawing/2014/main" id="{762742FE-0F73-E6CE-853F-C79B505B8A49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Sheet1!A56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477501"/>
          <a:ext cx="12039599" cy="3638550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5">
  <rv s="0">
    <v>0</v>
    <v>9</v>
    <v>Image generated by Python</v>
  </rv>
  <rv s="1">
    <fb>46309.233969907407</fb>
    <v>0</v>
  </rv>
  <rv s="1">
    <fb>46308.050266203703</fb>
    <v>0</v>
  </rv>
  <rv s="1">
    <fb>46307.431689814817</fb>
    <v>0</v>
  </rv>
  <rv s="1">
    <fb>46306.842511574076</fb>
    <v>0</v>
  </rv>
  <rv s="1">
    <fb>46306.134745370371</fb>
    <v>0</v>
  </rv>
  <rv s="1">
    <fb>46306.064884259256</fb>
    <v>0</v>
  </rv>
  <rv s="1">
    <fb>46306.043807870374</fb>
    <v>0</v>
  </rv>
  <rv s="1">
    <fb>46306.033310185187</fb>
    <v>0</v>
  </rv>
  <rv s="1">
    <fb>46305.922789351855</fb>
    <v>0</v>
  </rv>
  <rv s="1">
    <fb>46305.420092592591</fb>
    <v>0</v>
  </rv>
  <rv s="1">
    <fb>46305.22792824074</fb>
    <v>0</v>
  </rv>
  <rv s="1">
    <fb>46304.968877314815</fb>
    <v>0</v>
  </rv>
  <rv s="1">
    <fb>46304.951215277775</fb>
    <v>0</v>
  </rv>
  <rv s="1">
    <fb>46304.623773148145</fb>
    <v>0</v>
  </rv>
  <rv s="1">
    <fb>46303.757569444446</fb>
    <v>0</v>
  </rv>
  <rv s="1">
    <fb>46303.382118055553</fb>
    <v>0</v>
  </rv>
  <rv s="1">
    <fb>46303</fb>
    <v>1</v>
  </rv>
  <rv s="1">
    <fb>46304</fb>
    <v>1</v>
  </rv>
  <rv s="1">
    <fb>46305</fb>
    <v>1</v>
  </rv>
  <rv s="1">
    <fb>46306</fb>
    <v>1</v>
  </rv>
  <rv s="1">
    <fb>46307</fb>
    <v>1</v>
  </rv>
  <rv s="1">
    <fb>46308</fb>
    <v>1</v>
  </rv>
  <rv s="1">
    <fb>46309</fb>
    <v>1</v>
  </rv>
  <rv s="0">
    <v>1</v>
    <v>9</v>
    <v>Image generated by Python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  <k n="Text" t="s"/>
  </s>
  <s t="_formattednumber">
    <k n="_Format" t="spb"/>
  </s>
</rvStructures>
</file>

<file path=xl/richData/rdsupportingpropertybag.xml><?xml version="1.0" encoding="utf-8"?>
<supportingPropertyBags xmlns="http://schemas.microsoft.com/office/spreadsheetml/2017/richdata2">
  <spbData count="2">
    <spb s="0">
      <v>1</v>
    </spb>
    <spb s="0">
      <v>2</v>
    </spb>
  </spbData>
</supportingPropertyBags>
</file>

<file path=xl/richData/rdsupportingpropertybagstructure.xml><?xml version="1.0" encoding="utf-8"?>
<spbStructures xmlns="http://schemas.microsoft.com/office/spreadsheetml/2017/richdata2" count="1">
  <s>
    <k n="_Self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27" formatCode="yyyy/mm/dd\ h:mm"/>
    </x:dxf>
    <x:dxf>
      <x:numFmt numFmtId="19" formatCode="yyyy/mm/dd"/>
    </x:dxf>
  </dxfs>
  <richStyles>
    <rSty dxfid="0"/>
    <rSty dxfid="1"/>
  </richStyles>
</richStyleSheet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6"/>
  <sheetViews>
    <sheetView tabSelected="1" topLeftCell="A10" workbookViewId="0">
      <selection activeCell="J27" sqref="J27"/>
    </sheetView>
  </sheetViews>
  <sheetFormatPr defaultRowHeight="15" x14ac:dyDescent="0.25"/>
  <cols>
    <col min="1" max="1" width="15.5703125" bestFit="1" customWidth="1"/>
    <col min="2" max="4" width="8" bestFit="1" customWidth="1"/>
    <col min="5" max="6" width="4" bestFit="1" customWidth="1"/>
    <col min="7" max="7" width="4.28515625" bestFit="1" customWidth="1"/>
    <col min="8" max="8" width="34.5703125" bestFit="1" customWidth="1"/>
    <col min="9" max="9" width="20.5703125" bestFit="1" customWidth="1"/>
  </cols>
  <sheetData>
    <row r="1" spans="1:1" x14ac:dyDescent="0.25">
      <c r="A1" t="e" cm="1" vm="1">
        <f t="array" ref="A1">_xlfn._xlws.PY(0,0,_xlfn.PQSOURCE("5db6c1c2-cb98-42bb-b80f-a180d91601e1"))</f>
        <v>#VALUE!</v>
      </c>
    </row>
    <row r="23" spans="1:9" x14ac:dyDescent="0.25">
      <c r="A23" t="str" cm="1">
        <f t="array" ref="A23:I40">_xlfn._xlws.PY(1,0)</f>
        <v/>
      </c>
      <c r="B23" t="str">
        <v>Enlem</v>
      </c>
      <c r="C23" t="str">
        <v>Boylam</v>
      </c>
      <c r="D23" t="str">
        <v>Derinlik</v>
      </c>
      <c r="E23" t="str">
        <v>MD</v>
      </c>
      <c r="F23" t="str">
        <v>ML</v>
      </c>
      <c r="G23" t="str">
        <v>Mw</v>
      </c>
      <c r="H23" t="str">
        <v>Yer</v>
      </c>
      <c r="I23" t="str">
        <v>Tip</v>
      </c>
    </row>
    <row r="24" spans="1:9" x14ac:dyDescent="0.25">
      <c r="A24" t="str">
        <v>Tarih_Saat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</row>
    <row r="25" spans="1:9" x14ac:dyDescent="0.25">
      <c r="A25" vm="2">
        <v>46309.233969907407</v>
      </c>
      <c r="B25">
        <v>38.343699999999998</v>
      </c>
      <c r="C25">
        <v>38.796300000000002</v>
      </c>
      <c r="D25">
        <v>8.1</v>
      </c>
      <c r="E25" t="str">
        <v>-.-</v>
      </c>
      <c r="F25">
        <v>3.4</v>
      </c>
      <c r="G25" t="str">
        <v>3.3</v>
      </c>
      <c r="H25" t="str">
        <v>CANAKCI-KALE</v>
      </c>
      <c r="I25" t="str">
        <v>(MALATYA)</v>
      </c>
    </row>
    <row r="26" spans="1:9" x14ac:dyDescent="0.25">
      <c r="A26" vm="3">
        <v>46308.050266203703</v>
      </c>
      <c r="B26">
        <v>38.754199999999997</v>
      </c>
      <c r="C26">
        <v>36.561700000000002</v>
      </c>
      <c r="D26">
        <v>5</v>
      </c>
      <c r="E26" t="str">
        <v>-.-</v>
      </c>
      <c r="F26">
        <v>3.2</v>
      </c>
      <c r="G26" t="str">
        <v>3.2</v>
      </c>
      <c r="H26" t="str">
        <v>YUKARIBURANDERE-PINARBASI</v>
      </c>
      <c r="I26" t="str">
        <v>(KAYSERI)</v>
      </c>
    </row>
    <row r="27" spans="1:9" x14ac:dyDescent="0.25">
      <c r="A27" vm="4">
        <v>46307.431689814817</v>
      </c>
      <c r="B27">
        <v>35.923000000000002</v>
      </c>
      <c r="C27">
        <v>30.8005</v>
      </c>
      <c r="D27">
        <v>14</v>
      </c>
      <c r="E27" t="str">
        <v>-.-</v>
      </c>
      <c r="F27">
        <v>3.3</v>
      </c>
      <c r="G27" t="str">
        <v>3.4</v>
      </c>
      <c r="H27" t="str">
        <v>AKDENIZ</v>
      </c>
      <c r="I27" t="str">
        <v>İlksel</v>
      </c>
    </row>
    <row r="28" spans="1:9" x14ac:dyDescent="0.25">
      <c r="A28" vm="5">
        <v>46306.842511574076</v>
      </c>
      <c r="B28">
        <v>38.105200000000004</v>
      </c>
      <c r="C28">
        <v>38.439500000000002</v>
      </c>
      <c r="D28">
        <v>5</v>
      </c>
      <c r="E28" t="str">
        <v>-.-</v>
      </c>
      <c r="F28">
        <v>3.2</v>
      </c>
      <c r="G28" t="str">
        <v>3.2</v>
      </c>
      <c r="H28" t="str">
        <v>KARAGOL-CELIKHAN</v>
      </c>
      <c r="I28" t="str">
        <v>(ADIYAMAN)</v>
      </c>
    </row>
    <row r="29" spans="1:9" x14ac:dyDescent="0.25">
      <c r="A29" vm="6">
        <v>46306.134745370371</v>
      </c>
      <c r="B29">
        <v>39.003500000000003</v>
      </c>
      <c r="C29">
        <v>35.782800000000002</v>
      </c>
      <c r="D29">
        <v>5</v>
      </c>
      <c r="E29" t="str">
        <v>-.-</v>
      </c>
      <c r="F29">
        <v>3.6</v>
      </c>
      <c r="G29" t="str">
        <v>3.5</v>
      </c>
      <c r="H29" t="str">
        <v>OMURLU-SARIOGLAN</v>
      </c>
      <c r="I29" t="str">
        <v>(KAYSERI)</v>
      </c>
    </row>
    <row r="30" spans="1:9" x14ac:dyDescent="0.25">
      <c r="A30" vm="7">
        <v>46306.064884259256</v>
      </c>
      <c r="B30">
        <v>35.458300000000001</v>
      </c>
      <c r="C30">
        <v>26.5763</v>
      </c>
      <c r="D30">
        <v>5.2</v>
      </c>
      <c r="E30" t="str">
        <v>-.-</v>
      </c>
      <c r="F30">
        <v>4.0999999999999996</v>
      </c>
      <c r="G30" t="str">
        <v>4.2</v>
      </c>
      <c r="H30" t="str">
        <v>GIRIT</v>
      </c>
      <c r="I30" t="str">
        <v>ADASI</v>
      </c>
    </row>
    <row r="31" spans="1:9" x14ac:dyDescent="0.25">
      <c r="A31" vm="8">
        <v>46306.043807870374</v>
      </c>
      <c r="B31">
        <v>35.468200000000003</v>
      </c>
      <c r="C31">
        <v>26.569700000000001</v>
      </c>
      <c r="D31">
        <v>7.8</v>
      </c>
      <c r="E31" t="str">
        <v>-.-</v>
      </c>
      <c r="F31">
        <v>3.2</v>
      </c>
      <c r="G31" t="str">
        <v>3.2</v>
      </c>
      <c r="H31" t="str">
        <v>GIRIT</v>
      </c>
      <c r="I31" t="str">
        <v>ADASI</v>
      </c>
    </row>
    <row r="32" spans="1:9" x14ac:dyDescent="0.25">
      <c r="A32" vm="9">
        <v>46306.033310185187</v>
      </c>
      <c r="B32">
        <v>35.478000000000002</v>
      </c>
      <c r="C32">
        <v>26.558199999999999</v>
      </c>
      <c r="D32">
        <v>5.2</v>
      </c>
      <c r="E32" t="str">
        <v>-.-</v>
      </c>
      <c r="F32">
        <v>3.7</v>
      </c>
      <c r="G32" t="str">
        <v>3.9</v>
      </c>
      <c r="H32" t="str">
        <v>GIRIT</v>
      </c>
      <c r="I32" t="str">
        <v>ADASI</v>
      </c>
    </row>
    <row r="33" spans="1:9" x14ac:dyDescent="0.25">
      <c r="A33" vm="10">
        <v>46305.922789351855</v>
      </c>
      <c r="B33">
        <v>40.679699999999997</v>
      </c>
      <c r="C33">
        <v>29.256699999999999</v>
      </c>
      <c r="D33">
        <v>13</v>
      </c>
      <c r="E33" t="str">
        <v>-.-</v>
      </c>
      <c r="F33">
        <v>3.5</v>
      </c>
      <c r="G33" t="str">
        <v>3.5</v>
      </c>
      <c r="H33" t="str">
        <v>YALOVA</v>
      </c>
      <c r="I33" t="str">
        <v>İlksel</v>
      </c>
    </row>
    <row r="34" spans="1:9" x14ac:dyDescent="0.25">
      <c r="A34" vm="11">
        <v>46305.420092592591</v>
      </c>
      <c r="B34">
        <v>39.852200000000003</v>
      </c>
      <c r="C34">
        <v>38.806199999999997</v>
      </c>
      <c r="D34">
        <v>5.2</v>
      </c>
      <c r="E34" t="str">
        <v>-.-</v>
      </c>
      <c r="F34">
        <v>3.6</v>
      </c>
      <c r="G34" t="str">
        <v>3.6</v>
      </c>
      <c r="H34" t="str">
        <v>AVSAROZU-REFAHIYE</v>
      </c>
      <c r="I34" t="str">
        <v>(ERZINCAN)</v>
      </c>
    </row>
    <row r="35" spans="1:9" x14ac:dyDescent="0.25">
      <c r="A35" vm="12">
        <v>46305.22792824074</v>
      </c>
      <c r="B35">
        <v>34.870699999999999</v>
      </c>
      <c r="C35">
        <v>33.987200000000001</v>
      </c>
      <c r="D35">
        <v>19.100000000000001</v>
      </c>
      <c r="E35" t="str">
        <v>-.-</v>
      </c>
      <c r="F35">
        <v>3.2</v>
      </c>
      <c r="G35" t="str">
        <v>3.3</v>
      </c>
      <c r="H35" t="str">
        <v>AKDENIZ</v>
      </c>
      <c r="I35" t="str">
        <v>İlksel</v>
      </c>
    </row>
    <row r="36" spans="1:9" x14ac:dyDescent="0.25">
      <c r="A36" vm="13">
        <v>46304.968877314815</v>
      </c>
      <c r="B36">
        <v>34.768799999999999</v>
      </c>
      <c r="C36">
        <v>34.0822</v>
      </c>
      <c r="D36">
        <v>20.6</v>
      </c>
      <c r="E36" t="str">
        <v>-.-</v>
      </c>
      <c r="F36">
        <v>3.3</v>
      </c>
      <c r="G36" t="str">
        <v>3.4</v>
      </c>
      <c r="H36" t="str">
        <v>AKDENIZ</v>
      </c>
      <c r="I36" t="str">
        <v>İlksel</v>
      </c>
    </row>
    <row r="37" spans="1:9" x14ac:dyDescent="0.25">
      <c r="A37" vm="14">
        <v>46304.951215277775</v>
      </c>
      <c r="B37">
        <v>34.734699999999997</v>
      </c>
      <c r="C37">
        <v>34.049199999999999</v>
      </c>
      <c r="D37">
        <v>18.399999999999999</v>
      </c>
      <c r="E37" t="str">
        <v>-.-</v>
      </c>
      <c r="F37">
        <v>3.5</v>
      </c>
      <c r="G37" t="str">
        <v>3.6</v>
      </c>
      <c r="H37" t="str">
        <v>AKDENIZ</v>
      </c>
      <c r="I37" t="str">
        <v>İlksel</v>
      </c>
    </row>
    <row r="38" spans="1:9" x14ac:dyDescent="0.25">
      <c r="A38" vm="15">
        <v>46304.623773148145</v>
      </c>
      <c r="B38">
        <v>35.263300000000001</v>
      </c>
      <c r="C38">
        <v>27.045300000000001</v>
      </c>
      <c r="D38">
        <v>10.9</v>
      </c>
      <c r="E38" t="str">
        <v>-.-</v>
      </c>
      <c r="F38">
        <v>3.6</v>
      </c>
      <c r="G38" t="str">
        <v>3.9</v>
      </c>
      <c r="H38" t="str">
        <v>AKDENIZ</v>
      </c>
      <c r="I38" t="str">
        <v>İlksel</v>
      </c>
    </row>
    <row r="39" spans="1:9" x14ac:dyDescent="0.25">
      <c r="A39" vm="16">
        <v>46303.757569444446</v>
      </c>
      <c r="B39">
        <v>34.488300000000002</v>
      </c>
      <c r="C39">
        <v>26.567799999999998</v>
      </c>
      <c r="D39">
        <v>10.4</v>
      </c>
      <c r="E39" t="str">
        <v>-.-</v>
      </c>
      <c r="F39">
        <v>3.4</v>
      </c>
      <c r="G39" t="str">
        <v>3.4</v>
      </c>
      <c r="H39" t="str">
        <v>GIRIT</v>
      </c>
      <c r="I39" t="str">
        <v>ADASI</v>
      </c>
    </row>
    <row r="40" spans="1:9" x14ac:dyDescent="0.25">
      <c r="A40" vm="17">
        <v>46303.382118055553</v>
      </c>
      <c r="B40">
        <v>39.606299999999997</v>
      </c>
      <c r="C40">
        <v>26.002300000000002</v>
      </c>
      <c r="D40">
        <v>6.6</v>
      </c>
      <c r="E40" t="str">
        <v>-.-</v>
      </c>
      <c r="F40">
        <v>3.4</v>
      </c>
      <c r="G40" t="str">
        <v>3.3</v>
      </c>
      <c r="H40" t="str">
        <v>TAVAKLI</v>
      </c>
      <c r="I40" t="str">
        <v>ACIKLARI-CANAKKALE</v>
      </c>
    </row>
    <row r="44" spans="1:9" x14ac:dyDescent="0.25">
      <c r="A44" t="str" cm="1">
        <f t="array" ref="A44:E53">_xlfn._xlws.PY(2,0)</f>
        <v/>
      </c>
      <c r="B44" t="str">
        <v>ML</v>
      </c>
      <c r="C44" t="str">
        <v>ML</v>
      </c>
      <c r="D44" t="str">
        <v>ML</v>
      </c>
      <c r="E44" t="str">
        <v>ML</v>
      </c>
    </row>
    <row r="45" spans="1:9" x14ac:dyDescent="0.25">
      <c r="A45" t="str">
        <v/>
      </c>
      <c r="B45" t="str">
        <v>count</v>
      </c>
      <c r="C45" t="str">
        <v>mean</v>
      </c>
      <c r="D45" t="str">
        <v>min</v>
      </c>
      <c r="E45" t="str">
        <v>max</v>
      </c>
    </row>
    <row r="46" spans="1:9" x14ac:dyDescent="0.25">
      <c r="A46" t="str">
        <v>Tarih_Saat</v>
      </c>
      <c r="B46" t="str">
        <v/>
      </c>
      <c r="C46" t="str">
        <v/>
      </c>
      <c r="D46" t="str">
        <v/>
      </c>
      <c r="E46" t="str">
        <v/>
      </c>
    </row>
    <row r="47" spans="1:9" x14ac:dyDescent="0.25">
      <c r="A47" vm="18">
        <v>46303</v>
      </c>
      <c r="B47">
        <v>2</v>
      </c>
      <c r="C47">
        <v>3.4</v>
      </c>
      <c r="D47">
        <v>3.4</v>
      </c>
      <c r="E47">
        <v>3.4</v>
      </c>
    </row>
    <row r="48" spans="1:9" x14ac:dyDescent="0.25">
      <c r="A48" vm="19">
        <v>46304</v>
      </c>
      <c r="B48">
        <v>3</v>
      </c>
      <c r="C48">
        <v>3.4666666666666668</v>
      </c>
      <c r="D48">
        <v>3.3</v>
      </c>
      <c r="E48">
        <v>3.6</v>
      </c>
    </row>
    <row r="49" spans="1:5" x14ac:dyDescent="0.25">
      <c r="A49" vm="20">
        <v>46305</v>
      </c>
      <c r="B49">
        <v>3</v>
      </c>
      <c r="C49">
        <v>3.4333333333333336</v>
      </c>
      <c r="D49">
        <v>3.2</v>
      </c>
      <c r="E49">
        <v>3.6</v>
      </c>
    </row>
    <row r="50" spans="1:5" x14ac:dyDescent="0.25">
      <c r="A50" vm="21">
        <v>46306</v>
      </c>
      <c r="B50">
        <v>5</v>
      </c>
      <c r="C50">
        <v>3.56</v>
      </c>
      <c r="D50">
        <v>3.2</v>
      </c>
      <c r="E50">
        <v>4.0999999999999996</v>
      </c>
    </row>
    <row r="51" spans="1:5" x14ac:dyDescent="0.25">
      <c r="A51" vm="22">
        <v>46307</v>
      </c>
      <c r="B51">
        <v>1</v>
      </c>
      <c r="C51">
        <v>3.3</v>
      </c>
      <c r="D51">
        <v>3.3</v>
      </c>
      <c r="E51">
        <v>3.3</v>
      </c>
    </row>
    <row r="52" spans="1:5" x14ac:dyDescent="0.25">
      <c r="A52" vm="23">
        <v>46308</v>
      </c>
      <c r="B52">
        <v>1</v>
      </c>
      <c r="C52">
        <v>3.2</v>
      </c>
      <c r="D52">
        <v>3.2</v>
      </c>
      <c r="E52">
        <v>3.2</v>
      </c>
    </row>
    <row r="53" spans="1:5" x14ac:dyDescent="0.25">
      <c r="A53" vm="24">
        <v>46309</v>
      </c>
      <c r="B53">
        <v>1</v>
      </c>
      <c r="C53">
        <v>3.4</v>
      </c>
      <c r="D53">
        <v>3.4</v>
      </c>
      <c r="E53">
        <v>3.4</v>
      </c>
    </row>
    <row r="56" spans="1:5" x14ac:dyDescent="0.25">
      <c r="A56" t="e" cm="1" vm="25">
        <f t="array" ref="A56">_xlfn._xlws.PY(3,0)</f>
        <v>#VALUE!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69C8C5-2694-4833-9A4B-7E6D12537E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KİSE</dc:creator>
  <cp:lastModifiedBy>Abdullah Kise</cp:lastModifiedBy>
  <dcterms:created xsi:type="dcterms:W3CDTF">2015-06-05T18:17:20Z</dcterms:created>
  <dcterms:modified xsi:type="dcterms:W3CDTF">2026-10-14T17:48:49Z</dcterms:modified>
</cp:coreProperties>
</file>